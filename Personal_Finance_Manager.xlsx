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" sheetId="2" state="visible" r:id="rId2"/>
    <sheet name="Expenses" sheetId="3" state="visible" r:id="rId3"/>
    <sheet name="Loans" sheetId="4" state="visible" r:id="rId4"/>
    <sheet name="Savings" sheetId="5" state="visible" r:id="rId5"/>
    <sheet name="Charts" sheetId="6" state="visible" r:id="rId6"/>
    <sheet name="Net Worth" sheetId="7" state="visible" r:id="rId7"/>
    <sheet name="Monthly Budg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&quot;%&quot;"/>
    <numFmt numFmtId="166" formatCode="&quot;$&quot;#,0.00"/>
  </numFmts>
  <fonts count="11">
    <font>
      <name val="Calibri"/>
      <family val="2"/>
      <color theme="1"/>
      <sz val="11"/>
      <scheme val="minor"/>
    </font>
    <font>
      <b val="1"/>
      <color rgb="001E3A5F"/>
      <sz val="20"/>
    </font>
    <font>
      <i val="1"/>
      <sz val="10"/>
    </font>
    <font>
      <b val="1"/>
      <color rgb="001E3A5F"/>
      <sz val="14"/>
    </font>
    <font>
      <b val="1"/>
    </font>
    <font>
      <b val="1"/>
      <color rgb="001E3A5F"/>
    </font>
    <font>
      <b val="1"/>
      <color rgb="001E3A5F"/>
      <sz val="18"/>
    </font>
    <font>
      <b val="1"/>
      <color rgb="002E5077"/>
      <sz val="11"/>
    </font>
    <font>
      <b val="1"/>
      <color rgb="00FFFFFF"/>
      <sz val="11"/>
    </font>
    <font>
      <b val="1"/>
      <color rgb="00C62828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  <xf numFmtId="164" fontId="5" fillId="2" borderId="0" pivotButton="0" quotePrefix="0" xfId="0"/>
    <xf numFmtId="0" fontId="4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164" fontId="5" fillId="4" borderId="0" pivotButton="0" quotePrefix="0" xfId="0"/>
    <xf numFmtId="0" fontId="4" fillId="5" borderId="0" pivotButton="0" quotePrefix="0" xfId="0"/>
    <xf numFmtId="164" fontId="5" fillId="5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6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5" fillId="0" borderId="0" pivotButton="0" quotePrefix="0" xfId="0"/>
    <xf numFmtId="164" fontId="0" fillId="0" borderId="0" pivotButton="0" quotePrefix="0" xfId="0"/>
    <xf numFmtId="165" fontId="0" fillId="0" borderId="1" pivotButton="0" quotePrefix="0" xfId="0"/>
    <xf numFmtId="0" fontId="8" fillId="6" borderId="1" pivotButton="0" quotePrefix="0" xfId="0"/>
    <xf numFmtId="165" fontId="5" fillId="0" borderId="0" pivotButton="0" quotePrefix="0" xfId="0"/>
    <xf numFmtId="0" fontId="8" fillId="6" borderId="0" pivotButton="0" quotePrefix="0" xfId="0"/>
    <xf numFmtId="164" fontId="9" fillId="3" borderId="0" pivotButton="0" quotePrefix="0" xfId="0"/>
    <xf numFmtId="0" fontId="10" fillId="0" borderId="0" pivotButton="0" quotePrefix="0" xfId="0"/>
    <xf numFmtId="164" fontId="3" fillId="4" borderId="0" pivotButton="0" quotePrefix="0" xfId="0"/>
    <xf numFmtId="166" fontId="5" fillId="0" borderId="0" pivotButton="0" quotePrefix="0" xfId="0"/>
    <xf numFmtId="166" fontId="5" fillId="0" borderId="1" pivotButton="0" quotePrefix="0" xfId="0"/>
    <xf numFmtId="0" fontId="0" fillId="2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'Charts'!B4</f>
            </strRef>
          </tx>
          <spPr>
            <a:ln>
              <a:prstDash val="solid"/>
            </a:ln>
          </spPr>
          <cat>
            <numRef>
              <f>'Charts'!$A$5:$A$12</f>
            </numRef>
          </cat>
          <val>
            <numRef>
              <f>'Charts'!$B$5:$B$12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'Charts'!B19</f>
            </strRef>
          </tx>
          <spPr>
            <a:ln>
              <a:prstDash val="solid"/>
            </a:ln>
          </spPr>
          <cat>
            <numRef>
              <f>'Charts'!$A$20:$A$27</f>
            </numRef>
          </cat>
          <val>
            <numRef>
              <f>'Charts'!$B$20:$B$27</f>
            </numRef>
          </val>
        </ser>
        <ser>
          <idx val="1"/>
          <order val="1"/>
          <tx>
            <strRef>
              <f>'Charts'!C19</f>
            </strRef>
          </tx>
          <spPr>
            <a:ln>
              <a:prstDash val="solid"/>
            </a:ln>
          </spPr>
          <cat>
            <numRef>
              <f>'Charts'!$A$20:$A$27</f>
            </numRef>
          </cat>
          <val>
            <numRef>
              <f>'Charts'!$C$20:$C$27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Savings Goals Progress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'Charts'!B34</f>
            </strRef>
          </tx>
          <spPr>
            <a:ln>
              <a:prstDash val="solid"/>
            </a:ln>
          </spPr>
          <cat>
            <numRef>
              <f>'Charts'!$A$35:$A$38</f>
            </numRef>
          </cat>
          <val>
            <numRef>
              <f>'Charts'!$B$35:$B$38</f>
            </numRef>
          </val>
        </ser>
        <ser>
          <idx val="1"/>
          <order val="1"/>
          <tx>
            <strRef>
              <f>'Charts'!C34</f>
            </strRef>
          </tx>
          <spPr>
            <a:ln>
              <a:prstDash val="solid"/>
            </a:ln>
          </spPr>
          <cat>
            <numRef>
              <f>'Charts'!$A$35:$A$38</f>
            </numRef>
          </cat>
          <val>
            <numRef>
              <f>'Charts'!$C$35:$C$38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Goals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32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PERSONAL FINANCE DASHBOARD</t>
        </is>
      </c>
    </row>
    <row r="2">
      <c r="A2" s="2" t="inlineStr">
        <is>
          <t>Last Updated: June 06, 2026</t>
        </is>
      </c>
    </row>
    <row r="4">
      <c r="A4" s="3" t="inlineStr">
        <is>
          <t>MONTHLY SUMMARY</t>
        </is>
      </c>
    </row>
    <row r="5">
      <c r="A5" s="4" t="inlineStr">
        <is>
          <t>Total Income</t>
        </is>
      </c>
      <c r="B5" s="5">
        <f>Income!B20</f>
        <v/>
      </c>
    </row>
    <row r="6">
      <c r="A6" s="6" t="inlineStr">
        <is>
          <t>Total Expenses</t>
        </is>
      </c>
      <c r="B6" s="7">
        <f>Expenses!B18</f>
        <v/>
      </c>
    </row>
    <row r="7">
      <c r="A7" s="8" t="inlineStr">
        <is>
          <t>Net Savings</t>
        </is>
      </c>
      <c r="B7" s="9">
        <f>B6-B7</f>
        <v/>
      </c>
    </row>
    <row r="8">
      <c r="A8" s="10" t="inlineStr">
        <is>
          <t>Savings Rate</t>
        </is>
      </c>
      <c r="B8" s="11">
        <f>IF(B6&gt;0,(B8/B6)*100,0)</f>
        <v/>
      </c>
    </row>
    <row r="9">
      <c r="B9" s="12" t="n"/>
    </row>
    <row r="11">
      <c r="A11" s="3" t="inlineStr">
        <is>
          <t>FINANCIAL HEALTH</t>
        </is>
      </c>
    </row>
    <row r="12">
      <c r="A12" s="13" t="inlineStr">
        <is>
          <t>Active Loans</t>
        </is>
      </c>
      <c r="B12" s="14">
        <f>Loans!B14</f>
        <v/>
      </c>
    </row>
    <row r="13">
      <c r="A13" s="13" t="inlineStr">
        <is>
          <t>Total Loan Balance</t>
        </is>
      </c>
      <c r="B13" s="14">
        <f>Loans!B15</f>
        <v/>
      </c>
    </row>
    <row r="14">
      <c r="A14" s="13" t="inlineStr">
        <is>
          <t>Savings Goals Progress</t>
        </is>
      </c>
      <c r="B14" s="14">
        <f>Savings!B12</f>
        <v/>
      </c>
    </row>
    <row r="15">
      <c r="A15" s="13" t="inlineStr">
        <is>
          <t>Budget Status</t>
        </is>
      </c>
      <c r="B15" s="15">
        <f>IF(Dashboard!B8&gt;0,IF(Dashboard!B8/Dashboard!B6&gt;0.2,"On Track","Needs Attention"),"No Data")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6" t="inlineStr">
        <is>
          <t>MONTHLY INCOME &amp; BUDGET</t>
        </is>
      </c>
    </row>
    <row r="3">
      <c r="A3" s="17" t="inlineStr">
        <is>
          <t>INCOME SOURCES</t>
        </is>
      </c>
    </row>
    <row r="4">
      <c r="A4" s="18" t="inlineStr">
        <is>
          <t>Source</t>
        </is>
      </c>
      <c r="B4" s="18" t="inlineStr">
        <is>
          <t>Budgeted</t>
        </is>
      </c>
      <c r="C4" s="18" t="inlineStr">
        <is>
          <t>Actual</t>
        </is>
      </c>
      <c r="D4" s="18" t="inlineStr">
        <is>
          <t>Variance</t>
        </is>
      </c>
      <c r="E4" s="18" t="inlineStr">
        <is>
          <t>Notes</t>
        </is>
      </c>
    </row>
    <row r="5">
      <c r="A5" s="19" t="inlineStr">
        <is>
          <t>Salary</t>
        </is>
      </c>
      <c r="B5" s="20" t="n">
        <v>5000</v>
      </c>
      <c r="C5" s="20" t="inlineStr"/>
      <c r="D5" s="20">
        <f>C5-B5</f>
        <v/>
      </c>
      <c r="E5" s="19" t="inlineStr">
        <is>
          <t>Primary income</t>
        </is>
      </c>
    </row>
    <row r="6">
      <c r="A6" s="19" t="inlineStr">
        <is>
          <t>Freelance</t>
        </is>
      </c>
      <c r="B6" s="20" t="n">
        <v>500</v>
      </c>
      <c r="C6" s="20" t="inlineStr"/>
      <c r="D6" s="20">
        <f>C6-B6</f>
        <v/>
      </c>
      <c r="E6" s="19" t="inlineStr"/>
    </row>
    <row r="7">
      <c r="A7" s="19" t="inlineStr">
        <is>
          <t>Investments</t>
        </is>
      </c>
      <c r="B7" s="20" t="n">
        <v>200</v>
      </c>
      <c r="C7" s="20" t="inlineStr"/>
      <c r="D7" s="20">
        <f>C7-B7</f>
        <v/>
      </c>
      <c r="E7" s="19" t="inlineStr"/>
    </row>
    <row r="8">
      <c r="A8" s="19" t="inlineStr">
        <is>
          <t>Side Business</t>
        </is>
      </c>
      <c r="B8" s="20" t="n">
        <v>300</v>
      </c>
      <c r="C8" s="20" t="inlineStr"/>
      <c r="D8" s="20">
        <f>C8-B8</f>
        <v/>
      </c>
      <c r="E8" s="19" t="inlineStr"/>
    </row>
    <row r="9">
      <c r="A9" s="19" t="inlineStr">
        <is>
          <t>Other</t>
        </is>
      </c>
      <c r="B9" s="20" t="n">
        <v>100</v>
      </c>
      <c r="C9" s="20" t="inlineStr"/>
      <c r="D9" s="20">
        <f>C9-B9</f>
        <v/>
      </c>
      <c r="E9" s="19" t="inlineStr"/>
    </row>
    <row r="10">
      <c r="A10" s="13" t="inlineStr">
        <is>
          <t>Total Income</t>
        </is>
      </c>
      <c r="B10" s="21">
        <f>SUM(B5:B9)</f>
        <v/>
      </c>
      <c r="C10" s="21">
        <f>SUM(C5:C9)</f>
        <v/>
      </c>
      <c r="D10" s="22">
        <f>C10-B10</f>
        <v/>
      </c>
    </row>
    <row r="12">
      <c r="A12" s="17" t="inlineStr">
        <is>
          <t>BUDGET CATEGORIES</t>
        </is>
      </c>
    </row>
    <row r="13">
      <c r="A13" s="18" t="inlineStr">
        <is>
          <t>Category</t>
        </is>
      </c>
      <c r="B13" s="18" t="inlineStr">
        <is>
          <t>Budgeted</t>
        </is>
      </c>
      <c r="C13" s="18" t="inlineStr">
        <is>
          <t>Spent</t>
        </is>
      </c>
      <c r="D13" s="18" t="inlineStr">
        <is>
          <t>Remaining</t>
        </is>
      </c>
      <c r="E13" s="18" t="inlineStr">
        <is>
          <t>Status</t>
        </is>
      </c>
    </row>
    <row r="14">
      <c r="A14" s="19" t="inlineStr">
        <is>
          <t>Housing</t>
        </is>
      </c>
      <c r="B14" s="20" t="n">
        <v>1500</v>
      </c>
      <c r="C14" s="19" t="n"/>
      <c r="D14" s="20">
        <f>B14-C14</f>
        <v/>
      </c>
      <c r="E14" s="19">
        <f>IF(C14&gt;B14,"Over Budget",IF(C14=B14,"On Target","Under Budget"))</f>
        <v/>
      </c>
    </row>
    <row r="15">
      <c r="A15" s="19" t="inlineStr">
        <is>
          <t>Utilities</t>
        </is>
      </c>
      <c r="B15" s="20" t="n">
        <v>200</v>
      </c>
      <c r="C15" s="19" t="n"/>
      <c r="D15" s="20">
        <f>B15-C15</f>
        <v/>
      </c>
      <c r="E15" s="19">
        <f>IF(C15&gt;B15,"Over Budget",IF(C15=B15,"On Target","Under Budget"))</f>
        <v/>
      </c>
    </row>
    <row r="16">
      <c r="A16" s="19" t="inlineStr">
        <is>
          <t>Groceries</t>
        </is>
      </c>
      <c r="B16" s="20" t="n">
        <v>600</v>
      </c>
      <c r="C16" s="19" t="n"/>
      <c r="D16" s="20">
        <f>B16-C16</f>
        <v/>
      </c>
      <c r="E16" s="19">
        <f>IF(C16&gt;B16,"Over Budget",IF(C16=B16,"On Target","Under Budget"))</f>
        <v/>
      </c>
    </row>
    <row r="17">
      <c r="A17" s="19" t="inlineStr">
        <is>
          <t>Transportation</t>
        </is>
      </c>
      <c r="B17" s="20" t="n">
        <v>400</v>
      </c>
      <c r="C17" s="19" t="n"/>
      <c r="D17" s="20">
        <f>B17-C17</f>
        <v/>
      </c>
      <c r="E17" s="19">
        <f>IF(C17&gt;B17,"Over Budget",IF(C17=B17,"On Target","Under Budget"))</f>
        <v/>
      </c>
    </row>
    <row r="18">
      <c r="A18" s="19" t="inlineStr">
        <is>
          <t>Insurance</t>
        </is>
      </c>
      <c r="B18" s="20" t="n">
        <v>300</v>
      </c>
      <c r="C18" s="19" t="n"/>
      <c r="D18" s="20">
        <f>B18-C18</f>
        <v/>
      </c>
      <c r="E18" s="19">
        <f>IF(C18&gt;B18,"Over Budget",IF(C18=B18,"On Target","Under Budget"))</f>
        <v/>
      </c>
    </row>
    <row r="19">
      <c r="A19" s="19" t="inlineStr">
        <is>
          <t>Entertainment</t>
        </is>
      </c>
      <c r="B19" s="20" t="n">
        <v>200</v>
      </c>
      <c r="C19" s="19" t="n"/>
      <c r="D19" s="20">
        <f>B19-C19</f>
        <v/>
      </c>
      <c r="E19" s="19">
        <f>IF(C19&gt;B19,"Over Budget",IF(C19=B19,"On Target","Under Budget"))</f>
        <v/>
      </c>
    </row>
    <row r="20">
      <c r="A20" s="19" t="inlineStr">
        <is>
          <t>Dining Out</t>
        </is>
      </c>
      <c r="B20" s="20" t="n">
        <v>250</v>
      </c>
      <c r="C20" s="19" t="n"/>
      <c r="D20" s="20">
        <f>B20-C20</f>
        <v/>
      </c>
      <c r="E20" s="19">
        <f>IF(C20&gt;B20,"Over Budget",IF(C20=B20,"On Target","Under Budget"))</f>
        <v/>
      </c>
    </row>
    <row r="21">
      <c r="A21" s="19" t="inlineStr">
        <is>
          <t>Healthcare</t>
        </is>
      </c>
      <c r="B21" s="20" t="n">
        <v>150</v>
      </c>
      <c r="C21" s="19" t="n"/>
      <c r="D21" s="20">
        <f>B21-C21</f>
        <v/>
      </c>
      <c r="E21" s="19">
        <f>IF(C21&gt;B21,"Over Budget",IF(C21=B21,"On Target","Under Budget"))</f>
        <v/>
      </c>
    </row>
    <row r="22">
      <c r="A22" s="19" t="inlineStr">
        <is>
          <t>Personal Care</t>
        </is>
      </c>
      <c r="B22" s="20" t="n">
        <v>100</v>
      </c>
      <c r="C22" s="19" t="n"/>
      <c r="D22" s="20">
        <f>B22-C22</f>
        <v/>
      </c>
      <c r="E22" s="19">
        <f>IF(C22&gt;B22,"Over Budget",IF(C22=B22,"On Target","Under Budget"))</f>
        <v/>
      </c>
    </row>
    <row r="23">
      <c r="A23" s="19" t="inlineStr">
        <is>
          <t>Education</t>
        </is>
      </c>
      <c r="B23" s="20" t="n">
        <v>100</v>
      </c>
      <c r="C23" s="19" t="n"/>
      <c r="D23" s="20">
        <f>B23-C23</f>
        <v/>
      </c>
      <c r="E23" s="19">
        <f>IF(C23&gt;B23,"Over Budget",IF(C23=B23,"On Target","Under Budget"))</f>
        <v/>
      </c>
    </row>
    <row r="24">
      <c r="A24" s="19" t="inlineStr">
        <is>
          <t>Savings</t>
        </is>
      </c>
      <c r="B24" s="20" t="n">
        <v>500</v>
      </c>
      <c r="C24" s="19" t="n"/>
      <c r="D24" s="20">
        <f>B24-C24</f>
        <v/>
      </c>
      <c r="E24" s="19">
        <f>IF(C24&gt;B24,"Over Budget",IF(C24=B24,"On Target","Under Budget"))</f>
        <v/>
      </c>
    </row>
    <row r="25">
      <c r="A25" s="19" t="inlineStr">
        <is>
          <t>Miscellaneous</t>
        </is>
      </c>
      <c r="B25" s="20" t="n">
        <v>200</v>
      </c>
      <c r="C25" s="19" t="n"/>
      <c r="D25" s="20">
        <f>B25-C25</f>
        <v/>
      </c>
      <c r="E25" s="19">
        <f>IF(C25&gt;B25,"Over Budget",IF(C25=B25,"On Target","Under Budget"))</f>
        <v/>
      </c>
    </row>
    <row r="26">
      <c r="A26" s="13" t="inlineStr">
        <is>
          <t>Total Budget</t>
        </is>
      </c>
      <c r="B26" s="21">
        <f>SUM(B14:B25)</f>
        <v/>
      </c>
      <c r="C26" s="21">
        <f>SUM(C14:C25)</f>
        <v/>
      </c>
      <c r="D26" s="22">
        <f>B26-C26</f>
        <v/>
      </c>
    </row>
    <row r="28">
      <c r="A28" s="17" t="inlineStr">
        <is>
          <t>MONTHLY SUMMARY</t>
        </is>
      </c>
    </row>
    <row r="29">
      <c r="A29" t="inlineStr">
        <is>
          <t>Total Income</t>
        </is>
      </c>
      <c r="B29" s="22">
        <f>B10</f>
        <v/>
      </c>
    </row>
    <row r="30">
      <c r="A30" t="inlineStr">
        <is>
          <t>Total Budget</t>
        </is>
      </c>
      <c r="B30" s="22">
        <f>B26</f>
        <v/>
      </c>
    </row>
    <row r="31">
      <c r="A31" t="inlineStr">
        <is>
          <t>Remaining</t>
        </is>
      </c>
      <c r="B31" s="21">
        <f>B29-B30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5" customWidth="1" min="5" max="5"/>
    <col width="10" customWidth="1" min="6" max="6"/>
    <col width="15" customWidth="1" min="7" max="7"/>
    <col width="10" customWidth="1" min="8" max="8"/>
  </cols>
  <sheetData>
    <row r="1">
      <c r="A1" s="16" t="inlineStr">
        <is>
          <t>EXPENSES TRACKER</t>
        </is>
      </c>
    </row>
    <row r="3">
      <c r="A3" s="18" t="inlineStr">
        <is>
          <t>Date</t>
        </is>
      </c>
      <c r="B3" s="18" t="inlineStr">
        <is>
          <t>Category</t>
        </is>
      </c>
      <c r="C3" s="18" t="inlineStr">
        <is>
          <t>Description</t>
        </is>
      </c>
      <c r="D3" s="18" t="inlineStr">
        <is>
          <t>Amount</t>
        </is>
      </c>
      <c r="E3" s="18" t="inlineStr">
        <is>
          <t>Payment Method</t>
        </is>
      </c>
      <c r="F3" s="18" t="inlineStr">
        <is>
          <t>Receipt</t>
        </is>
      </c>
      <c r="G3" s="18" t="inlineStr">
        <is>
          <t>Notes</t>
        </is>
      </c>
      <c r="H3" s="18" t="inlineStr">
        <is>
          <t>Month</t>
        </is>
      </c>
    </row>
    <row r="4">
      <c r="A4" s="19" t="inlineStr">
        <is>
          <t>2026-06-01</t>
        </is>
      </c>
      <c r="B4" s="19" t="inlineStr">
        <is>
          <t>Housing</t>
        </is>
      </c>
      <c r="C4" s="19" t="inlineStr">
        <is>
          <t>Monthly Rent</t>
        </is>
      </c>
      <c r="D4" s="20" t="n">
        <v>1500</v>
      </c>
      <c r="E4" s="19" t="inlineStr">
        <is>
          <t>Bank Transfer</t>
        </is>
      </c>
      <c r="F4" s="19" t="inlineStr">
        <is>
          <t>Yes</t>
        </is>
      </c>
      <c r="G4" s="19" t="inlineStr"/>
      <c r="H4" s="19" t="inlineStr">
        <is>
          <t>June</t>
        </is>
      </c>
    </row>
    <row r="5">
      <c r="A5" s="19" t="inlineStr">
        <is>
          <t>2026-06-02</t>
        </is>
      </c>
      <c r="B5" s="19" t="inlineStr">
        <is>
          <t>Groceries</t>
        </is>
      </c>
      <c r="C5" s="19" t="inlineStr">
        <is>
          <t>Weekly Shopping</t>
        </is>
      </c>
      <c r="D5" s="20" t="n">
        <v>145.5</v>
      </c>
      <c r="E5" s="19" t="inlineStr">
        <is>
          <t>Credit Card</t>
        </is>
      </c>
      <c r="F5" s="19" t="inlineStr">
        <is>
          <t>Yes</t>
        </is>
      </c>
      <c r="G5" s="19" t="inlineStr"/>
      <c r="H5" s="19" t="inlineStr">
        <is>
          <t>June</t>
        </is>
      </c>
    </row>
    <row r="6">
      <c r="A6" s="19" t="inlineStr">
        <is>
          <t>2026-06-03</t>
        </is>
      </c>
      <c r="B6" s="19" t="inlineStr">
        <is>
          <t>Utilities</t>
        </is>
      </c>
      <c r="C6" s="19" t="inlineStr">
        <is>
          <t>Electric Bill</t>
        </is>
      </c>
      <c r="D6" s="20" t="n">
        <v>85.2</v>
      </c>
      <c r="E6" s="19" t="inlineStr">
        <is>
          <t>Auto Pay</t>
        </is>
      </c>
      <c r="F6" s="19" t="inlineStr">
        <is>
          <t>Yes</t>
        </is>
      </c>
      <c r="G6" s="19" t="inlineStr"/>
      <c r="H6" s="19" t="inlineStr">
        <is>
          <t>June</t>
        </is>
      </c>
    </row>
    <row r="7">
      <c r="A7" s="19" t="inlineStr">
        <is>
          <t>2026-06-05</t>
        </is>
      </c>
      <c r="B7" s="19" t="inlineStr">
        <is>
          <t>Transportation</t>
        </is>
      </c>
      <c r="C7" s="19" t="inlineStr">
        <is>
          <t>Gas</t>
        </is>
      </c>
      <c r="D7" s="20" t="n">
        <v>55</v>
      </c>
      <c r="E7" s="19" t="inlineStr">
        <is>
          <t>Debit Card</t>
        </is>
      </c>
      <c r="F7" s="19" t="inlineStr">
        <is>
          <t>No</t>
        </is>
      </c>
      <c r="G7" s="19" t="inlineStr"/>
      <c r="H7" s="19" t="inlineStr">
        <is>
          <t>June</t>
        </is>
      </c>
    </row>
    <row r="8">
      <c r="A8" s="19" t="inlineStr">
        <is>
          <t>2026-06-07</t>
        </is>
      </c>
      <c r="B8" s="19" t="inlineStr">
        <is>
          <t>Dining Out</t>
        </is>
      </c>
      <c r="C8" s="19" t="inlineStr">
        <is>
          <t>Restaurant</t>
        </is>
      </c>
      <c r="D8" s="20" t="n">
        <v>42.5</v>
      </c>
      <c r="E8" s="19" t="inlineStr">
        <is>
          <t>Credit Card</t>
        </is>
      </c>
      <c r="F8" s="19" t="inlineStr">
        <is>
          <t>No</t>
        </is>
      </c>
      <c r="G8" s="19" t="inlineStr"/>
      <c r="H8" s="19" t="inlineStr">
        <is>
          <t>June</t>
        </is>
      </c>
    </row>
    <row r="9">
      <c r="A9" s="19" t="inlineStr">
        <is>
          <t>2026-06-10</t>
        </is>
      </c>
      <c r="B9" s="19" t="inlineStr">
        <is>
          <t>Healthcare</t>
        </is>
      </c>
      <c r="C9" s="19" t="inlineStr">
        <is>
          <t>Pharmacy</t>
        </is>
      </c>
      <c r="D9" s="20" t="n">
        <v>28.9</v>
      </c>
      <c r="E9" s="19" t="inlineStr">
        <is>
          <t>Debit Card</t>
        </is>
      </c>
      <c r="F9" s="19" t="inlineStr">
        <is>
          <t>Yes</t>
        </is>
      </c>
      <c r="G9" s="19" t="inlineStr"/>
      <c r="H9" s="19" t="inlineStr">
        <is>
          <t>June</t>
        </is>
      </c>
    </row>
    <row r="10">
      <c r="A10" s="19" t="inlineStr">
        <is>
          <t>2026-06-12</t>
        </is>
      </c>
      <c r="B10" s="19" t="inlineStr">
        <is>
          <t>Entertainment</t>
        </is>
      </c>
      <c r="C10" s="19" t="inlineStr">
        <is>
          <t>Movie Tickets</t>
        </is>
      </c>
      <c r="D10" s="20" t="n">
        <v>32</v>
      </c>
      <c r="E10" s="19" t="inlineStr">
        <is>
          <t>Credit Card</t>
        </is>
      </c>
      <c r="F10" s="19" t="inlineStr">
        <is>
          <t>No</t>
        </is>
      </c>
      <c r="G10" s="19" t="inlineStr"/>
      <c r="H10" s="19" t="inlineStr">
        <is>
          <t>June</t>
        </is>
      </c>
    </row>
    <row r="11">
      <c r="A11" s="19" t="inlineStr">
        <is>
          <t>2026-06-15</t>
        </is>
      </c>
      <c r="B11" s="19" t="inlineStr">
        <is>
          <t>Groceries</t>
        </is>
      </c>
      <c r="C11" s="19" t="inlineStr">
        <is>
          <t>Weekly Shopping</t>
        </is>
      </c>
      <c r="D11" s="20" t="n">
        <v>132.75</v>
      </c>
      <c r="E11" s="19" t="inlineStr">
        <is>
          <t>Credit Card</t>
        </is>
      </c>
      <c r="F11" s="19" t="inlineStr">
        <is>
          <t>Yes</t>
        </is>
      </c>
      <c r="G11" s="19" t="inlineStr"/>
      <c r="H11" s="19" t="inlineStr">
        <is>
          <t>June</t>
        </is>
      </c>
    </row>
    <row r="12">
      <c r="A12" s="19" t="inlineStr">
        <is>
          <t>2026-06-18</t>
        </is>
      </c>
      <c r="B12" s="19" t="inlineStr">
        <is>
          <t>Personal Care</t>
        </is>
      </c>
      <c r="C12" s="19" t="inlineStr">
        <is>
          <t>Haircut</t>
        </is>
      </c>
      <c r="D12" s="20" t="n">
        <v>45</v>
      </c>
      <c r="E12" s="19" t="inlineStr">
        <is>
          <t>Cash</t>
        </is>
      </c>
      <c r="F12" s="19" t="inlineStr">
        <is>
          <t>No</t>
        </is>
      </c>
      <c r="G12" s="19" t="inlineStr"/>
      <c r="H12" s="19" t="inlineStr">
        <is>
          <t>June</t>
        </is>
      </c>
    </row>
    <row r="13">
      <c r="A13" s="19" t="inlineStr">
        <is>
          <t>2026-06-20</t>
        </is>
      </c>
      <c r="B13" s="19" t="inlineStr">
        <is>
          <t>Utilities</t>
        </is>
      </c>
      <c r="C13" s="19" t="inlineStr">
        <is>
          <t>Internet</t>
        </is>
      </c>
      <c r="D13" s="20" t="n">
        <v>65</v>
      </c>
      <c r="E13" s="19" t="inlineStr">
        <is>
          <t>Auto Pay</t>
        </is>
      </c>
      <c r="F13" s="19" t="inlineStr">
        <is>
          <t>Yes</t>
        </is>
      </c>
      <c r="G13" s="19" t="inlineStr"/>
      <c r="H13" s="19" t="inlineStr">
        <is>
          <t>June</t>
        </is>
      </c>
    </row>
    <row r="14">
      <c r="A14" s="19" t="inlineStr">
        <is>
          <t>2026-06-22</t>
        </is>
      </c>
      <c r="B14" s="19" t="inlineStr">
        <is>
          <t>Dining Out</t>
        </is>
      </c>
      <c r="C14" s="19" t="inlineStr">
        <is>
          <t>Coffee Shop</t>
        </is>
      </c>
      <c r="D14" s="20" t="n">
        <v>18.5</v>
      </c>
      <c r="E14" s="19" t="inlineStr">
        <is>
          <t>Credit Card</t>
        </is>
      </c>
      <c r="F14" s="19" t="inlineStr">
        <is>
          <t>No</t>
        </is>
      </c>
      <c r="G14" s="19" t="inlineStr"/>
      <c r="H14" s="19" t="inlineStr">
        <is>
          <t>June</t>
        </is>
      </c>
    </row>
    <row r="15">
      <c r="A15" s="19" t="inlineStr">
        <is>
          <t>2026-06-25</t>
        </is>
      </c>
      <c r="B15" s="19" t="inlineStr">
        <is>
          <t>Transportation</t>
        </is>
      </c>
      <c r="C15" s="19" t="inlineStr">
        <is>
          <t>Parking</t>
        </is>
      </c>
      <c r="D15" s="20" t="n">
        <v>25</v>
      </c>
      <c r="E15" s="19" t="inlineStr">
        <is>
          <t>Debit Card</t>
        </is>
      </c>
      <c r="F15" s="19" t="inlineStr">
        <is>
          <t>No</t>
        </is>
      </c>
      <c r="G15" s="19" t="inlineStr"/>
      <c r="H15" s="19" t="inlineStr">
        <is>
          <t>June</t>
        </is>
      </c>
    </row>
    <row r="17">
      <c r="A17" s="13" t="inlineStr">
        <is>
          <t>TOTAL EXPENSES</t>
        </is>
      </c>
      <c r="D17" s="21">
        <f>SUM(D4:D16)</f>
        <v/>
      </c>
    </row>
    <row r="19">
      <c r="A19" s="17" t="inlineStr">
        <is>
          <t>EXPENSES BY CATEGORY</t>
        </is>
      </c>
    </row>
    <row r="20">
      <c r="A20" s="18" t="inlineStr">
        <is>
          <t>Category</t>
        </is>
      </c>
      <c r="B20" s="18" t="inlineStr">
        <is>
          <t>Total Spent</t>
        </is>
      </c>
      <c r="C20" s="18" t="inlineStr">
        <is>
          <t>% of Total</t>
        </is>
      </c>
      <c r="D20" s="18" t="inlineStr">
        <is>
          <t>Budget</t>
        </is>
      </c>
      <c r="E20" s="18" t="inlineStr">
        <is>
          <t>Remaining</t>
        </is>
      </c>
    </row>
    <row r="21">
      <c r="A21" s="19" t="inlineStr">
        <is>
          <t>Housing</t>
        </is>
      </c>
      <c r="B21" s="20">
        <f>SUMIF(B:B,A21,D:D)</f>
        <v/>
      </c>
      <c r="C21" s="23">
        <f>IF(D17&gt;0,B21/D17*100,0)</f>
        <v/>
      </c>
      <c r="D21" s="20">
        <f>VLOOKUP(A21,Income!A14:B25,2,FALSE)</f>
        <v/>
      </c>
      <c r="E21" s="20">
        <f>D21-B21</f>
        <v/>
      </c>
    </row>
    <row r="22">
      <c r="A22" s="19" t="inlineStr">
        <is>
          <t>Utilities</t>
        </is>
      </c>
      <c r="B22" s="20">
        <f>SUMIF(B:B,A22,D:D)</f>
        <v/>
      </c>
      <c r="C22" s="23">
        <f>IF(D17&gt;0,B22/D17*100,0)</f>
        <v/>
      </c>
      <c r="D22" s="20">
        <f>VLOOKUP(A22,Income!A14:B25,2,FALSE)</f>
        <v/>
      </c>
      <c r="E22" s="20">
        <f>D22-B22</f>
        <v/>
      </c>
    </row>
    <row r="23">
      <c r="A23" s="19" t="inlineStr">
        <is>
          <t>Groceries</t>
        </is>
      </c>
      <c r="B23" s="20">
        <f>SUMIF(B:B,A23,D:D)</f>
        <v/>
      </c>
      <c r="C23" s="23">
        <f>IF(D17&gt;0,B23/D17*100,0)</f>
        <v/>
      </c>
      <c r="D23" s="20">
        <f>VLOOKUP(A23,Income!A14:B25,2,FALSE)</f>
        <v/>
      </c>
      <c r="E23" s="20">
        <f>D23-B23</f>
        <v/>
      </c>
    </row>
    <row r="24">
      <c r="A24" s="19" t="inlineStr">
        <is>
          <t>Transportation</t>
        </is>
      </c>
      <c r="B24" s="20">
        <f>SUMIF(B:B,A24,D:D)</f>
        <v/>
      </c>
      <c r="C24" s="23">
        <f>IF(D17&gt;0,B24/D17*100,0)</f>
        <v/>
      </c>
      <c r="D24" s="20">
        <f>VLOOKUP(A24,Income!A14:B25,2,FALSE)</f>
        <v/>
      </c>
      <c r="E24" s="20">
        <f>D24-B24</f>
        <v/>
      </c>
    </row>
    <row r="25">
      <c r="A25" s="19" t="inlineStr">
        <is>
          <t>Insurance</t>
        </is>
      </c>
      <c r="B25" s="20">
        <f>SUMIF(B:B,A25,D:D)</f>
        <v/>
      </c>
      <c r="C25" s="23">
        <f>IF(D17&gt;0,B25/D17*100,0)</f>
        <v/>
      </c>
      <c r="D25" s="20">
        <f>VLOOKUP(A25,Income!A14:B25,2,FALSE)</f>
        <v/>
      </c>
      <c r="E25" s="20">
        <f>D25-B25</f>
        <v/>
      </c>
    </row>
    <row r="26">
      <c r="A26" s="19" t="inlineStr">
        <is>
          <t>Entertainment</t>
        </is>
      </c>
      <c r="B26" s="20">
        <f>SUMIF(B:B,A26,D:D)</f>
        <v/>
      </c>
      <c r="C26" s="23">
        <f>IF(D17&gt;0,B26/D17*100,0)</f>
        <v/>
      </c>
      <c r="D26" s="20">
        <f>VLOOKUP(A26,Income!A14:B25,2,FALSE)</f>
        <v/>
      </c>
      <c r="E26" s="20">
        <f>D26-B26</f>
        <v/>
      </c>
    </row>
    <row r="27">
      <c r="A27" s="19" t="inlineStr">
        <is>
          <t>Dining Out</t>
        </is>
      </c>
      <c r="B27" s="20">
        <f>SUMIF(B:B,A27,D:D)</f>
        <v/>
      </c>
      <c r="C27" s="23">
        <f>IF(D17&gt;0,B27/D17*100,0)</f>
        <v/>
      </c>
      <c r="D27" s="20">
        <f>VLOOKUP(A27,Income!A14:B25,2,FALSE)</f>
        <v/>
      </c>
      <c r="E27" s="20">
        <f>D27-B27</f>
        <v/>
      </c>
    </row>
    <row r="28">
      <c r="A28" s="19" t="inlineStr">
        <is>
          <t>Healthcare</t>
        </is>
      </c>
      <c r="B28" s="20">
        <f>SUMIF(B:B,A28,D:D)</f>
        <v/>
      </c>
      <c r="C28" s="23">
        <f>IF(D17&gt;0,B28/D17*100,0)</f>
        <v/>
      </c>
      <c r="D28" s="20">
        <f>VLOOKUP(A28,Income!A14:B25,2,FALSE)</f>
        <v/>
      </c>
      <c r="E28" s="20">
        <f>D28-B28</f>
        <v/>
      </c>
    </row>
    <row r="29">
      <c r="A29" s="19" t="inlineStr">
        <is>
          <t>Personal Care</t>
        </is>
      </c>
      <c r="B29" s="20">
        <f>SUMIF(B:B,A29,D:D)</f>
        <v/>
      </c>
      <c r="C29" s="23">
        <f>IF(D17&gt;0,B29/D17*100,0)</f>
        <v/>
      </c>
      <c r="D29" s="20">
        <f>VLOOKUP(A29,Income!A14:B25,2,FALSE)</f>
        <v/>
      </c>
      <c r="E29" s="20">
        <f>D29-B29</f>
        <v/>
      </c>
    </row>
    <row r="30">
      <c r="A30" s="19" t="inlineStr">
        <is>
          <t>Education</t>
        </is>
      </c>
      <c r="B30" s="20">
        <f>SUMIF(B:B,A30,D:D)</f>
        <v/>
      </c>
      <c r="C30" s="23">
        <f>IF(D17&gt;0,B30/D17*100,0)</f>
        <v/>
      </c>
      <c r="D30" s="20">
        <f>VLOOKUP(A30,Income!A14:B25,2,FALSE)</f>
        <v/>
      </c>
      <c r="E30" s="20">
        <f>D30-B30</f>
        <v/>
      </c>
    </row>
    <row r="31">
      <c r="A31" s="19" t="inlineStr">
        <is>
          <t>Miscellaneous</t>
        </is>
      </c>
      <c r="B31" s="20">
        <f>SUMIF(B:B,A31,D:D)</f>
        <v/>
      </c>
      <c r="C31" s="23">
        <f>IF(D17&gt;0,B31/D17*100,0)</f>
        <v/>
      </c>
      <c r="D31" s="20">
        <f>VLOOKUP(A31,Income!A14:B25,2,FALSE)</f>
        <v/>
      </c>
      <c r="E31" s="20">
        <f>D31-B31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6" t="inlineStr">
        <is>
          <t>LOANS MANAGER</t>
        </is>
      </c>
    </row>
    <row r="3">
      <c r="A3" s="17" t="inlineStr">
        <is>
          <t>ACTIVE LOANS</t>
        </is>
      </c>
    </row>
    <row r="4">
      <c r="A4" s="18" t="inlineStr">
        <is>
          <t>Loan Name</t>
        </is>
      </c>
      <c r="B4" s="18" t="inlineStr">
        <is>
          <t>Type</t>
        </is>
      </c>
      <c r="C4" s="18" t="inlineStr">
        <is>
          <t>Principal</t>
        </is>
      </c>
      <c r="D4" s="18" t="inlineStr">
        <is>
          <t>Interest Rate</t>
        </is>
      </c>
      <c r="E4" s="18" t="inlineStr">
        <is>
          <t>Term</t>
        </is>
      </c>
      <c r="F4" s="18" t="inlineStr">
        <is>
          <t>Monthly Payment</t>
        </is>
      </c>
      <c r="G4" s="18" t="inlineStr">
        <is>
          <t>Start Date</t>
        </is>
      </c>
      <c r="H4" s="18" t="inlineStr">
        <is>
          <t>Remaining Payments</t>
        </is>
      </c>
      <c r="I4" s="18" t="inlineStr">
        <is>
          <t>Total Paid</t>
        </is>
      </c>
      <c r="J4" s="18" t="inlineStr">
        <is>
          <t>Remaining Balance</t>
        </is>
      </c>
    </row>
    <row r="5">
      <c r="A5" s="19" t="inlineStr">
        <is>
          <t>Car Loan</t>
        </is>
      </c>
      <c r="B5" s="19" t="inlineStr">
        <is>
          <t>Auto</t>
        </is>
      </c>
      <c r="C5" s="20" t="n">
        <v>25000</v>
      </c>
      <c r="D5" s="23" t="n">
        <v>5.5</v>
      </c>
      <c r="E5" s="19" t="n">
        <v>60</v>
      </c>
      <c r="F5" s="20" t="n">
        <v>477</v>
      </c>
      <c r="G5" s="19" t="inlineStr">
        <is>
          <t>2024-01-15</t>
        </is>
      </c>
      <c r="H5" s="19" t="n">
        <v>42</v>
      </c>
      <c r="I5" s="20" t="n">
        <v>4770</v>
      </c>
      <c r="J5" s="20" t="n">
        <v>20025</v>
      </c>
    </row>
    <row r="6">
      <c r="A6" s="19" t="inlineStr">
        <is>
          <t>Student Loan</t>
        </is>
      </c>
      <c r="B6" s="19" t="inlineStr">
        <is>
          <t>Education</t>
        </is>
      </c>
      <c r="C6" s="20" t="n">
        <v>35000</v>
      </c>
      <c r="D6" s="23" t="n">
        <v>4.2</v>
      </c>
      <c r="E6" s="19" t="n">
        <v>120</v>
      </c>
      <c r="F6" s="20" t="n">
        <v>357</v>
      </c>
      <c r="G6" s="19" t="inlineStr">
        <is>
          <t>2023-06-01</t>
        </is>
      </c>
      <c r="H6" s="19" t="n">
        <v>96</v>
      </c>
      <c r="I6" s="20" t="n">
        <v>8568</v>
      </c>
      <c r="J6" s="20" t="n">
        <v>29856</v>
      </c>
    </row>
    <row r="7">
      <c r="A7" s="19" t="inlineStr">
        <is>
          <t>Credit Card 1</t>
        </is>
      </c>
      <c r="B7" s="19" t="inlineStr">
        <is>
          <t>Credit</t>
        </is>
      </c>
      <c r="C7" s="20" t="n">
        <v>3000</v>
      </c>
      <c r="D7" s="23" t="n">
        <v>19.99</v>
      </c>
      <c r="E7" s="19" t="n">
        <v>24</v>
      </c>
      <c r="F7" s="20" t="n">
        <v>150</v>
      </c>
      <c r="G7" s="19" t="inlineStr">
        <is>
          <t>2025-03-01</t>
        </is>
      </c>
      <c r="H7" s="19" t="n">
        <v>21</v>
      </c>
      <c r="I7" s="20" t="n">
        <v>1350</v>
      </c>
      <c r="J7" s="20" t="n">
        <v>1950</v>
      </c>
    </row>
    <row r="9">
      <c r="A9" s="13" t="inlineStr">
        <is>
          <t>TOTALS</t>
        </is>
      </c>
      <c r="C9" s="21">
        <f>SUM(C5:C7)</f>
        <v/>
      </c>
      <c r="F9" s="21">
        <f>SUM(F5:F7)</f>
        <v/>
      </c>
      <c r="I9" s="22">
        <f>SUM(I5:I7)</f>
        <v/>
      </c>
      <c r="J9" s="21">
        <f>SUM(J5:J7)</f>
        <v/>
      </c>
    </row>
    <row r="11">
      <c r="A11" t="inlineStr">
        <is>
          <t>Active Loans</t>
        </is>
      </c>
      <c r="B11">
        <f>COUNTA(A5:A7)</f>
        <v/>
      </c>
    </row>
    <row r="12">
      <c r="A12" t="inlineStr">
        <is>
          <t>Total Outstanding Balance</t>
        </is>
      </c>
      <c r="B12" s="22">
        <f>J9</f>
        <v/>
      </c>
    </row>
    <row r="13">
      <c r="A13" t="inlineStr">
        <is>
          <t>Total Monthly Payments</t>
        </is>
      </c>
      <c r="B13" s="22">
        <f>F9</f>
        <v/>
      </c>
    </row>
    <row r="14">
      <c r="A14">
        <f>B11</f>
        <v/>
      </c>
    </row>
    <row r="15">
      <c r="B15" s="22">
        <f>B12</f>
        <v/>
      </c>
    </row>
    <row r="17">
      <c r="A17" s="17" t="inlineStr">
        <is>
          <t>LOAN PAYOFF TIMELINE</t>
        </is>
      </c>
    </row>
    <row r="18">
      <c r="A18" s="24" t="inlineStr">
        <is>
          <t>Month</t>
        </is>
      </c>
      <c r="B18" s="24" t="inlineStr">
        <is>
          <t>Payment</t>
        </is>
      </c>
      <c r="C18" s="24" t="inlineStr">
        <is>
          <t>Principal</t>
        </is>
      </c>
      <c r="D18" s="24" t="inlineStr">
        <is>
          <t>Interest</t>
        </is>
      </c>
      <c r="E18" s="24" t="inlineStr">
        <is>
          <t>Balance</t>
        </is>
      </c>
    </row>
    <row r="19">
      <c r="A19" s="19" t="inlineStr">
        <is>
          <t>Month 1</t>
        </is>
      </c>
      <c r="B19" s="20" t="n">
        <v>477</v>
      </c>
      <c r="C19" s="20">
        <f>B19*(1-0.00458)</f>
        <v/>
      </c>
      <c r="D19" s="20">
        <f>B19-C19</f>
        <v/>
      </c>
      <c r="E19" s="20">
        <f>IF(19=19,20025-B19,E18-B19)</f>
        <v/>
      </c>
    </row>
    <row r="20">
      <c r="A20" s="19" t="inlineStr">
        <is>
          <t>Month 2</t>
        </is>
      </c>
      <c r="B20" s="20" t="n">
        <v>477</v>
      </c>
      <c r="C20" s="20">
        <f>B20*(1-0.00458)</f>
        <v/>
      </c>
      <c r="D20" s="20">
        <f>B20-C20</f>
        <v/>
      </c>
      <c r="E20" s="20">
        <f>IF(20=19,20025-B20,E19-B20)</f>
        <v/>
      </c>
    </row>
    <row r="21">
      <c r="A21" s="19" t="inlineStr">
        <is>
          <t>Month 3</t>
        </is>
      </c>
      <c r="B21" s="20" t="n">
        <v>477</v>
      </c>
      <c r="C21" s="20">
        <f>B21*(1-0.00458)</f>
        <v/>
      </c>
      <c r="D21" s="20">
        <f>B21-C21</f>
        <v/>
      </c>
      <c r="E21" s="20">
        <f>IF(21=19,20025-B21,E20-B21)</f>
        <v/>
      </c>
    </row>
    <row r="22">
      <c r="A22" s="19" t="inlineStr">
        <is>
          <t>Month 4</t>
        </is>
      </c>
      <c r="B22" s="20" t="n">
        <v>477</v>
      </c>
      <c r="C22" s="20">
        <f>B22*(1-0.00458)</f>
        <v/>
      </c>
      <c r="D22" s="20">
        <f>B22-C22</f>
        <v/>
      </c>
      <c r="E22" s="20">
        <f>IF(22=19,20025-B22,E21-B22)</f>
        <v/>
      </c>
    </row>
    <row r="23">
      <c r="A23" s="19" t="inlineStr">
        <is>
          <t>Month 5</t>
        </is>
      </c>
      <c r="B23" s="20" t="n">
        <v>477</v>
      </c>
      <c r="C23" s="20">
        <f>B23*(1-0.00458)</f>
        <v/>
      </c>
      <c r="D23" s="20">
        <f>B23-C23</f>
        <v/>
      </c>
      <c r="E23" s="20">
        <f>IF(23=19,20025-B23,E22-B23)</f>
        <v/>
      </c>
    </row>
    <row r="24">
      <c r="A24" s="19" t="inlineStr">
        <is>
          <t>Month 6</t>
        </is>
      </c>
      <c r="B24" s="20" t="n">
        <v>477</v>
      </c>
      <c r="C24" s="20">
        <f>B24*(1-0.00458)</f>
        <v/>
      </c>
      <c r="D24" s="20">
        <f>B24-C24</f>
        <v/>
      </c>
      <c r="E24" s="20">
        <f>IF(24=19,20025-B24,E23-B24)</f>
        <v/>
      </c>
    </row>
    <row r="25">
      <c r="A25" s="19" t="inlineStr">
        <is>
          <t>Month 7</t>
        </is>
      </c>
      <c r="B25" s="20" t="n">
        <v>477</v>
      </c>
      <c r="C25" s="20">
        <f>B25*(1-0.00458)</f>
        <v/>
      </c>
      <c r="D25" s="20">
        <f>B25-C25</f>
        <v/>
      </c>
      <c r="E25" s="20">
        <f>IF(25=19,20025-B25,E24-B25)</f>
        <v/>
      </c>
    </row>
    <row r="26">
      <c r="A26" s="19" t="inlineStr">
        <is>
          <t>Month 8</t>
        </is>
      </c>
      <c r="B26" s="20" t="n">
        <v>477</v>
      </c>
      <c r="C26" s="20">
        <f>B26*(1-0.00458)</f>
        <v/>
      </c>
      <c r="D26" s="20">
        <f>B26-C26</f>
        <v/>
      </c>
      <c r="E26" s="20">
        <f>IF(26=19,20025-B26,E25-B26)</f>
        <v/>
      </c>
    </row>
    <row r="27">
      <c r="A27" s="19" t="inlineStr">
        <is>
          <t>Month 9</t>
        </is>
      </c>
      <c r="B27" s="20" t="n">
        <v>477</v>
      </c>
      <c r="C27" s="20">
        <f>B27*(1-0.00458)</f>
        <v/>
      </c>
      <c r="D27" s="20">
        <f>B27-C27</f>
        <v/>
      </c>
      <c r="E27" s="20">
        <f>IF(27=19,20025-B27,E26-B27)</f>
        <v/>
      </c>
    </row>
    <row r="28">
      <c r="A28" s="19" t="inlineStr">
        <is>
          <t>Month 10</t>
        </is>
      </c>
      <c r="B28" s="20" t="n">
        <v>477</v>
      </c>
      <c r="C28" s="20">
        <f>B28*(1-0.00458)</f>
        <v/>
      </c>
      <c r="D28" s="20">
        <f>B28-C28</f>
        <v/>
      </c>
      <c r="E28" s="20">
        <f>IF(28=19,20025-B28,E27-B28)</f>
        <v/>
      </c>
    </row>
    <row r="29">
      <c r="A29" s="19" t="inlineStr">
        <is>
          <t>Month 11</t>
        </is>
      </c>
      <c r="B29" s="20" t="n">
        <v>477</v>
      </c>
      <c r="C29" s="20">
        <f>B29*(1-0.00458)</f>
        <v/>
      </c>
      <c r="D29" s="20">
        <f>B29-C29</f>
        <v/>
      </c>
      <c r="E29" s="20">
        <f>IF(29=19,20025-B29,E28-B29)</f>
        <v/>
      </c>
    </row>
    <row r="30">
      <c r="A30" s="19" t="inlineStr">
        <is>
          <t>Month 12</t>
        </is>
      </c>
      <c r="B30" s="20" t="n">
        <v>477</v>
      </c>
      <c r="C30" s="20">
        <f>B30*(1-0.00458)</f>
        <v/>
      </c>
      <c r="D30" s="20">
        <f>B30-C30</f>
        <v/>
      </c>
      <c r="E30" s="20">
        <f>IF(30=19,20025-B30,E29-B30)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5" customWidth="1" min="5" max="5"/>
    <col width="12" customWidth="1" min="6" max="6"/>
  </cols>
  <sheetData>
    <row r="1">
      <c r="A1" s="16" t="inlineStr">
        <is>
          <t>SAVINGS TRACKER</t>
        </is>
      </c>
    </row>
    <row r="3">
      <c r="A3" s="17" t="inlineStr">
        <is>
          <t>SAVINGS GOALS</t>
        </is>
      </c>
    </row>
    <row r="4">
      <c r="A4" s="18" t="inlineStr">
        <is>
          <t>Goal Name</t>
        </is>
      </c>
      <c r="B4" s="18" t="inlineStr">
        <is>
          <t>Target Amount</t>
        </is>
      </c>
      <c r="C4" s="18" t="inlineStr">
        <is>
          <t>Current Amount</t>
        </is>
      </c>
      <c r="D4" s="18" t="inlineStr">
        <is>
          <t>Monthly Contribution</t>
        </is>
      </c>
      <c r="E4" s="18" t="inlineStr">
        <is>
          <t>Target Date</t>
        </is>
      </c>
      <c r="F4" s="18" t="inlineStr">
        <is>
          <t>Progress %</t>
        </is>
      </c>
    </row>
    <row r="5">
      <c r="A5" s="19" t="inlineStr">
        <is>
          <t>Emergency Fund</t>
        </is>
      </c>
      <c r="B5" s="20" t="n">
        <v>15000</v>
      </c>
      <c r="C5" s="20" t="n">
        <v>8500</v>
      </c>
      <c r="D5" s="20" t="n">
        <v>500</v>
      </c>
      <c r="E5" s="19" t="inlineStr">
        <is>
          <t>2026-12-31</t>
        </is>
      </c>
      <c r="F5" s="23">
        <f>C5/B5*100</f>
        <v/>
      </c>
    </row>
    <row r="6">
      <c r="A6" s="19" t="inlineStr">
        <is>
          <t>Vacation</t>
        </is>
      </c>
      <c r="B6" s="20" t="n">
        <v>5000</v>
      </c>
      <c r="C6" s="20" t="n">
        <v>1200</v>
      </c>
      <c r="D6" s="20" t="n">
        <v>300</v>
      </c>
      <c r="E6" s="19" t="inlineStr">
        <is>
          <t>2026-08-01</t>
        </is>
      </c>
      <c r="F6" s="23">
        <f>C6/B6*100</f>
        <v/>
      </c>
    </row>
    <row r="7">
      <c r="A7" s="19" t="inlineStr">
        <is>
          <t>New Car Down Payment</t>
        </is>
      </c>
      <c r="B7" s="20" t="n">
        <v>10000</v>
      </c>
      <c r="C7" s="20" t="n">
        <v>3500</v>
      </c>
      <c r="D7" s="20" t="n">
        <v>400</v>
      </c>
      <c r="E7" s="19" t="inlineStr">
        <is>
          <t>2027-06-01</t>
        </is>
      </c>
      <c r="F7" s="23">
        <f>C7/B7*100</f>
        <v/>
      </c>
    </row>
    <row r="8">
      <c r="A8" s="19" t="inlineStr">
        <is>
          <t>Home Down Payment</t>
        </is>
      </c>
      <c r="B8" s="20" t="n">
        <v>50000</v>
      </c>
      <c r="C8" s="20" t="n">
        <v>15000</v>
      </c>
      <c r="D8" s="20" t="n">
        <v>800</v>
      </c>
      <c r="E8" s="19" t="inlineStr">
        <is>
          <t>2029-01-01</t>
        </is>
      </c>
      <c r="F8" s="23">
        <f>C8/B8*100</f>
        <v/>
      </c>
    </row>
    <row r="9">
      <c r="A9" s="19" t="inlineStr">
        <is>
          <t>Retirement</t>
        </is>
      </c>
      <c r="B9" s="20" t="n">
        <v>500000</v>
      </c>
      <c r="C9" s="20" t="n">
        <v>45000</v>
      </c>
      <c r="D9" s="20" t="n">
        <v>600</v>
      </c>
      <c r="E9" s="19" t="inlineStr">
        <is>
          <t>2045-01-01</t>
        </is>
      </c>
      <c r="F9" s="23">
        <f>C9/B9*100</f>
        <v/>
      </c>
    </row>
    <row r="11">
      <c r="A11" s="13" t="inlineStr">
        <is>
          <t>TOTALS</t>
        </is>
      </c>
      <c r="B11" s="21">
        <f>SUM(B5:B9)</f>
        <v/>
      </c>
      <c r="C11" s="21">
        <f>SUM(C5:C9)</f>
        <v/>
      </c>
      <c r="D11" s="21">
        <f>SUM(D5:D9)</f>
        <v/>
      </c>
    </row>
    <row r="12">
      <c r="A12" t="inlineStr">
        <is>
          <t>Overall Progress</t>
        </is>
      </c>
      <c r="B12" s="25">
        <f>C11/B11*100</f>
        <v/>
      </c>
    </row>
    <row r="14">
      <c r="A14" s="17" t="inlineStr">
        <is>
          <t>SAVINGS TRANSACTIONS</t>
        </is>
      </c>
    </row>
    <row r="15">
      <c r="A15" s="24" t="inlineStr">
        <is>
          <t>Date</t>
        </is>
      </c>
      <c r="B15" s="24" t="inlineStr">
        <is>
          <t>Goal</t>
        </is>
      </c>
      <c r="C15" s="24" t="inlineStr">
        <is>
          <t>Type</t>
        </is>
      </c>
      <c r="D15" s="24" t="inlineStr">
        <is>
          <t>Amount</t>
        </is>
      </c>
      <c r="E15" s="24" t="inlineStr">
        <is>
          <t>Notes</t>
        </is>
      </c>
    </row>
    <row r="16">
      <c r="A16" s="19" t="inlineStr">
        <is>
          <t>2026-06-01</t>
        </is>
      </c>
      <c r="B16" s="19" t="inlineStr">
        <is>
          <t>Emergency Fund</t>
        </is>
      </c>
      <c r="C16" s="19" t="inlineStr">
        <is>
          <t>Deposit</t>
        </is>
      </c>
      <c r="D16" s="20" t="n">
        <v>500</v>
      </c>
      <c r="E16" s="19" t="inlineStr">
        <is>
          <t>Monthly contribution</t>
        </is>
      </c>
    </row>
    <row r="17">
      <c r="A17" s="19" t="inlineStr">
        <is>
          <t>2026-06-01</t>
        </is>
      </c>
      <c r="B17" s="19" t="inlineStr">
        <is>
          <t>Vacation</t>
        </is>
      </c>
      <c r="C17" s="19" t="inlineStr">
        <is>
          <t>Deposit</t>
        </is>
      </c>
      <c r="D17" s="20" t="n">
        <v>300</v>
      </c>
      <c r="E17" s="19" t="inlineStr">
        <is>
          <t>Monthly contribution</t>
        </is>
      </c>
    </row>
    <row r="18">
      <c r="A18" s="19" t="inlineStr">
        <is>
          <t>2026-06-01</t>
        </is>
      </c>
      <c r="B18" s="19" t="inlineStr">
        <is>
          <t>New Car Down Payment</t>
        </is>
      </c>
      <c r="C18" s="19" t="inlineStr">
        <is>
          <t>Deposit</t>
        </is>
      </c>
      <c r="D18" s="20" t="n">
        <v>400</v>
      </c>
      <c r="E18" s="19" t="inlineStr">
        <is>
          <t>Monthly contribution</t>
        </is>
      </c>
    </row>
    <row r="19">
      <c r="A19" s="19" t="inlineStr">
        <is>
          <t>2026-06-05</t>
        </is>
      </c>
      <c r="B19" s="19" t="inlineStr">
        <is>
          <t>Emergency Fund</t>
        </is>
      </c>
      <c r="C19" s="19" t="inlineStr">
        <is>
          <t>Interest</t>
        </is>
      </c>
      <c r="D19" s="20" t="n">
        <v>25.5</v>
      </c>
      <c r="E19" s="19" t="inlineStr">
        <is>
          <t>Interest earned</t>
        </is>
      </c>
    </row>
    <row r="20">
      <c r="A20" s="19" t="inlineStr">
        <is>
          <t>2026-06-15</t>
        </is>
      </c>
      <c r="B20" s="19" t="inlineStr">
        <is>
          <t>Home Down Payment</t>
        </is>
      </c>
      <c r="C20" s="19" t="inlineStr">
        <is>
          <t>Deposit</t>
        </is>
      </c>
      <c r="D20" s="20" t="n">
        <v>800</v>
      </c>
      <c r="E20" s="19" t="inlineStr">
        <is>
          <t>Monthly contribution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6" t="inlineStr">
        <is>
          <t>FINANCIAL VISUALIZATIONS</t>
        </is>
      </c>
    </row>
    <row r="3">
      <c r="A3" s="17" t="inlineStr">
        <is>
          <t>Expense Breakdown by Category</t>
        </is>
      </c>
    </row>
    <row r="4">
      <c r="A4" s="26" t="inlineStr">
        <is>
          <t>Category</t>
        </is>
      </c>
      <c r="B4" s="26" t="inlineStr">
        <is>
          <t>Amount</t>
        </is>
      </c>
    </row>
    <row r="5">
      <c r="A5" t="inlineStr">
        <is>
          <t>Housing</t>
        </is>
      </c>
      <c r="B5" s="22" t="n">
        <v>1500</v>
      </c>
    </row>
    <row r="6">
      <c r="A6" t="inlineStr">
        <is>
          <t>Groceries</t>
        </is>
      </c>
      <c r="B6" s="22" t="n">
        <v>278</v>
      </c>
    </row>
    <row r="7">
      <c r="A7" t="inlineStr">
        <is>
          <t>Utilities</t>
        </is>
      </c>
      <c r="B7" s="22" t="n">
        <v>150</v>
      </c>
    </row>
    <row r="8">
      <c r="A8" t="inlineStr">
        <is>
          <t>Transportation</t>
        </is>
      </c>
      <c r="B8" s="22" t="n">
        <v>80</v>
      </c>
    </row>
    <row r="9">
      <c r="A9" t="inlineStr">
        <is>
          <t>Dining Out</t>
        </is>
      </c>
      <c r="B9" s="22" t="n">
        <v>61</v>
      </c>
    </row>
    <row r="10">
      <c r="A10" t="inlineStr">
        <is>
          <t>Entertainment</t>
        </is>
      </c>
      <c r="B10" s="22" t="n">
        <v>32</v>
      </c>
    </row>
    <row r="11">
      <c r="A11" t="inlineStr">
        <is>
          <t>Healthcare</t>
        </is>
      </c>
      <c r="B11" s="22" t="n">
        <v>29</v>
      </c>
    </row>
    <row r="12">
      <c r="A12" t="inlineStr">
        <is>
          <t>Personal Care</t>
        </is>
      </c>
      <c r="B12" s="22" t="n">
        <v>45</v>
      </c>
    </row>
    <row r="18">
      <c r="A18" s="17" t="inlineStr">
        <is>
          <t>Budget vs Actual</t>
        </is>
      </c>
    </row>
    <row r="19">
      <c r="A19" s="26" t="inlineStr">
        <is>
          <t>Category</t>
        </is>
      </c>
      <c r="B19" s="26" t="inlineStr">
        <is>
          <t>Budget</t>
        </is>
      </c>
      <c r="C19" s="26" t="inlineStr">
        <is>
          <t>Actual</t>
        </is>
      </c>
    </row>
    <row r="20">
      <c r="A20" t="inlineStr">
        <is>
          <t>Housing</t>
        </is>
      </c>
      <c r="B20" s="22" t="n">
        <v>1500</v>
      </c>
      <c r="C20" s="22" t="n">
        <v>1500</v>
      </c>
    </row>
    <row r="21">
      <c r="A21" t="inlineStr">
        <is>
          <t>Groceries</t>
        </is>
      </c>
      <c r="B21" s="22" t="n">
        <v>600</v>
      </c>
      <c r="C21" s="22" t="n">
        <v>278</v>
      </c>
    </row>
    <row r="22">
      <c r="A22" t="inlineStr">
        <is>
          <t>Utilities</t>
        </is>
      </c>
      <c r="B22" s="22" t="n">
        <v>200</v>
      </c>
      <c r="C22" s="22" t="n">
        <v>150</v>
      </c>
    </row>
    <row r="23">
      <c r="A23" t="inlineStr">
        <is>
          <t>Transportation</t>
        </is>
      </c>
      <c r="B23" s="22" t="n">
        <v>400</v>
      </c>
      <c r="C23" s="22" t="n">
        <v>80</v>
      </c>
    </row>
    <row r="24">
      <c r="A24" t="inlineStr">
        <is>
          <t>Entertainment</t>
        </is>
      </c>
      <c r="B24" s="22" t="n">
        <v>200</v>
      </c>
      <c r="C24" s="22" t="n">
        <v>32</v>
      </c>
    </row>
    <row r="25">
      <c r="A25" t="inlineStr">
        <is>
          <t>Dining Out</t>
        </is>
      </c>
      <c r="B25" s="22" t="n">
        <v>250</v>
      </c>
      <c r="C25" s="22" t="n">
        <v>61</v>
      </c>
    </row>
    <row r="26">
      <c r="A26" t="inlineStr">
        <is>
          <t>Healthcare</t>
        </is>
      </c>
      <c r="B26" s="22" t="n">
        <v>150</v>
      </c>
      <c r="C26" s="22" t="n">
        <v>29</v>
      </c>
    </row>
    <row r="27">
      <c r="A27" t="inlineStr">
        <is>
          <t>Savings</t>
        </is>
      </c>
      <c r="B27" s="22" t="n">
        <v>500</v>
      </c>
      <c r="C27" s="22" t="n">
        <v>2025</v>
      </c>
    </row>
    <row r="33">
      <c r="A33" s="17" t="inlineStr">
        <is>
          <t>Savings Goals Progress</t>
        </is>
      </c>
    </row>
    <row r="34">
      <c r="A34" s="26" t="inlineStr">
        <is>
          <t>Goal</t>
        </is>
      </c>
      <c r="B34" s="26" t="inlineStr">
        <is>
          <t>Target</t>
        </is>
      </c>
      <c r="C34" s="26" t="inlineStr">
        <is>
          <t>Current</t>
        </is>
      </c>
    </row>
    <row r="35">
      <c r="A35" t="inlineStr">
        <is>
          <t>Emergency Fund</t>
        </is>
      </c>
      <c r="B35" s="22" t="n">
        <v>15000</v>
      </c>
      <c r="C35" s="22" t="n">
        <v>8500</v>
      </c>
    </row>
    <row r="36">
      <c r="A36" t="inlineStr">
        <is>
          <t>Vacation</t>
        </is>
      </c>
      <c r="B36" s="22" t="n">
        <v>5000</v>
      </c>
      <c r="C36" s="22" t="n">
        <v>1200</v>
      </c>
    </row>
    <row r="37">
      <c r="A37" t="inlineStr">
        <is>
          <t>Car Down Payment</t>
        </is>
      </c>
      <c r="B37" s="22" t="n">
        <v>10000</v>
      </c>
      <c r="C37" s="22" t="n">
        <v>3500</v>
      </c>
    </row>
    <row r="38">
      <c r="A38" t="inlineStr">
        <is>
          <t>Home Down Payment</t>
        </is>
      </c>
      <c r="B38" s="22" t="n">
        <v>50000</v>
      </c>
      <c r="C38" s="22" t="n">
        <v>15000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0" customWidth="1" min="4" max="4"/>
  </cols>
  <sheetData>
    <row r="1">
      <c r="A1" s="16" t="inlineStr">
        <is>
          <t>NET WORTH TRACKER</t>
        </is>
      </c>
    </row>
    <row r="3">
      <c r="A3" s="17" t="inlineStr">
        <is>
          <t>ASSETS</t>
        </is>
      </c>
    </row>
    <row r="4">
      <c r="A4" s="24" t="inlineStr">
        <is>
          <t>Asset</t>
        </is>
      </c>
      <c r="B4" s="24" t="inlineStr">
        <is>
          <t>Value</t>
        </is>
      </c>
      <c r="C4" s="24" t="inlineStr">
        <is>
          <t>Type</t>
        </is>
      </c>
      <c r="D4" s="24" t="inlineStr">
        <is>
          <t>Notes</t>
        </is>
      </c>
    </row>
    <row r="5">
      <c r="A5" s="19" t="inlineStr">
        <is>
          <t>Checking Account</t>
        </is>
      </c>
      <c r="B5" s="20" t="n">
        <v>5000</v>
      </c>
      <c r="C5" s="19" t="inlineStr">
        <is>
          <t>Cash</t>
        </is>
      </c>
      <c r="D5" s="19" t="inlineStr"/>
    </row>
    <row r="6">
      <c r="A6" s="19" t="inlineStr">
        <is>
          <t>Savings Account</t>
        </is>
      </c>
      <c r="B6" s="20" t="n">
        <v>28500</v>
      </c>
      <c r="C6" s="19" t="inlineStr">
        <is>
          <t>Cash</t>
        </is>
      </c>
      <c r="D6" s="19" t="inlineStr">
        <is>
          <t>Total savings</t>
        </is>
      </c>
    </row>
    <row r="7">
      <c r="A7" s="19" t="inlineStr">
        <is>
          <t>Emergency Fund</t>
        </is>
      </c>
      <c r="B7" s="20" t="n">
        <v>8500</v>
      </c>
      <c r="C7" s="19" t="inlineStr">
        <is>
          <t>Cash</t>
        </is>
      </c>
      <c r="D7" s="19" t="inlineStr"/>
    </row>
    <row r="8">
      <c r="A8" s="19" t="inlineStr">
        <is>
          <t>401(k)</t>
        </is>
      </c>
      <c r="B8" s="20" t="n">
        <v>45000</v>
      </c>
      <c r="C8" s="19" t="inlineStr">
        <is>
          <t>Investment</t>
        </is>
      </c>
      <c r="D8" s="19" t="inlineStr"/>
    </row>
    <row r="9">
      <c r="A9" s="19" t="inlineStr">
        <is>
          <t>Brokerage Account</t>
        </is>
      </c>
      <c r="B9" s="20" t="n">
        <v>12000</v>
      </c>
      <c r="C9" s="19" t="inlineStr">
        <is>
          <t>Investment</t>
        </is>
      </c>
      <c r="D9" s="19" t="inlineStr"/>
    </row>
    <row r="10">
      <c r="A10" s="19" t="inlineStr">
        <is>
          <t>Car (Blue Book Value)</t>
        </is>
      </c>
      <c r="B10" s="20" t="n">
        <v>18000</v>
      </c>
      <c r="C10" s="19" t="inlineStr">
        <is>
          <t>Property</t>
        </is>
      </c>
      <c r="D10" s="19" t="inlineStr"/>
    </row>
    <row r="11">
      <c r="A11" s="19" t="inlineStr">
        <is>
          <t>Home</t>
        </is>
      </c>
      <c r="B11" s="20" t="n">
        <v>350000</v>
      </c>
      <c r="C11" s="19" t="inlineStr">
        <is>
          <t>Property</t>
        </is>
      </c>
      <c r="D11" s="19" t="inlineStr">
        <is>
          <t>Estimated value</t>
        </is>
      </c>
    </row>
    <row r="13">
      <c r="A13" s="17" t="inlineStr">
        <is>
          <t>LIABILITIES</t>
        </is>
      </c>
    </row>
    <row r="14">
      <c r="A14" s="24" t="inlineStr">
        <is>
          <t>Liability</t>
        </is>
      </c>
      <c r="B14" s="24" t="inlineStr">
        <is>
          <t>Amount</t>
        </is>
      </c>
      <c r="C14" s="24" t="inlineStr">
        <is>
          <t>Type</t>
        </is>
      </c>
      <c r="D14" s="24" t="inlineStr">
        <is>
          <t>Notes</t>
        </is>
      </c>
    </row>
    <row r="15">
      <c r="A15" s="19" t="inlineStr">
        <is>
          <t>Car Loan</t>
        </is>
      </c>
      <c r="B15" s="20" t="n">
        <v>20025</v>
      </c>
      <c r="C15" s="19" t="inlineStr">
        <is>
          <t>Auto Loan</t>
        </is>
      </c>
      <c r="D15" s="19" t="inlineStr"/>
    </row>
    <row r="16">
      <c r="A16" s="19" t="inlineStr">
        <is>
          <t>Student Loan</t>
        </is>
      </c>
      <c r="B16" s="20" t="n">
        <v>29856</v>
      </c>
      <c r="C16" s="19" t="inlineStr">
        <is>
          <t>Education</t>
        </is>
      </c>
      <c r="D16" s="19" t="inlineStr"/>
    </row>
    <row r="17">
      <c r="A17" s="19" t="inlineStr">
        <is>
          <t>Credit Card Balance</t>
        </is>
      </c>
      <c r="B17" s="20" t="n">
        <v>1950</v>
      </c>
      <c r="C17" s="19" t="inlineStr">
        <is>
          <t>Credit</t>
        </is>
      </c>
      <c r="D17" s="19" t="inlineStr"/>
    </row>
    <row r="18">
      <c r="A18" s="19" t="inlineStr">
        <is>
          <t>Mortgage</t>
        </is>
      </c>
      <c r="B18" s="20" t="n">
        <v>280000</v>
      </c>
      <c r="C18" s="19" t="inlineStr">
        <is>
          <t>Home</t>
        </is>
      </c>
      <c r="D18" s="19" t="inlineStr"/>
    </row>
    <row r="20">
      <c r="A20" s="17" t="inlineStr">
        <is>
          <t>NET WORTH SUMMARY</t>
        </is>
      </c>
    </row>
    <row r="21">
      <c r="A21" t="inlineStr">
        <is>
          <t>Total Assets</t>
        </is>
      </c>
      <c r="B21" s="5">
        <f>SUM(B5:B11)</f>
        <v/>
      </c>
    </row>
    <row r="22">
      <c r="A22" t="inlineStr">
        <is>
          <t>Total Liabilities</t>
        </is>
      </c>
      <c r="B22" s="27">
        <f>SUM(B15:B18)</f>
        <v/>
      </c>
    </row>
    <row r="23">
      <c r="A23" s="28" t="inlineStr">
        <is>
          <t>NET WORTH</t>
        </is>
      </c>
      <c r="B23" s="29">
        <f>B21-B22</f>
        <v/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6" t="inlineStr">
        <is>
          <t>MONTHLY BUDGET CALENDAR - JUNE 2026</t>
        </is>
      </c>
    </row>
    <row r="3">
      <c r="A3" s="17" t="inlineStr">
        <is>
          <t>WEEKLY BUDGET</t>
        </is>
      </c>
      <c r="F3" s="17" t="inlineStr">
        <is>
          <t>DAILY SPENDING TRACKER</t>
        </is>
      </c>
    </row>
    <row r="4">
      <c r="A4" s="18" t="inlineStr">
        <is>
          <t>Week</t>
        </is>
      </c>
      <c r="B4" s="18" t="inlineStr">
        <is>
          <t>Income</t>
        </is>
      </c>
      <c r="C4" s="18" t="inlineStr">
        <is>
          <t>Fixed Expenses</t>
        </is>
      </c>
      <c r="D4" s="18" t="inlineStr">
        <is>
          <t>Variable Expenses</t>
        </is>
      </c>
      <c r="E4" s="18" t="inlineStr">
        <is>
          <t>Savings</t>
        </is>
      </c>
      <c r="F4" s="18" t="inlineStr">
        <is>
          <t>Date</t>
        </is>
      </c>
      <c r="G4" s="24" t="inlineStr">
        <is>
          <t>Spent</t>
        </is>
      </c>
      <c r="H4" s="24" t="inlineStr">
        <is>
          <t>Running Total</t>
        </is>
      </c>
    </row>
    <row r="5">
      <c r="A5" s="19" t="inlineStr">
        <is>
          <t>Week 1</t>
        </is>
      </c>
      <c r="B5" s="20" t="n">
        <v>1500</v>
      </c>
      <c r="C5" s="20" t="n">
        <v>1850</v>
      </c>
      <c r="D5" s="20" t="n">
        <v>200</v>
      </c>
      <c r="E5" s="20" t="n">
        <v>500</v>
      </c>
      <c r="F5" s="20" t="inlineStr">
        <is>
          <t>June 1</t>
        </is>
      </c>
      <c r="G5" s="20" t="n"/>
      <c r="H5" s="20">
        <f>G5</f>
        <v/>
      </c>
    </row>
    <row r="6">
      <c r="A6" s="19" t="inlineStr">
        <is>
          <t>Week 2</t>
        </is>
      </c>
      <c r="B6" s="20" t="n">
        <v>1500</v>
      </c>
      <c r="C6" s="20" t="n">
        <v>0</v>
      </c>
      <c r="D6" s="20" t="n">
        <v>350</v>
      </c>
      <c r="E6" s="20" t="n">
        <v>500</v>
      </c>
      <c r="F6" s="20" t="inlineStr">
        <is>
          <t>June 2</t>
        </is>
      </c>
      <c r="G6" s="20" t="n"/>
      <c r="H6" s="20">
        <f>H5+G6</f>
        <v/>
      </c>
    </row>
    <row r="7">
      <c r="A7" s="19" t="inlineStr">
        <is>
          <t>Week 3</t>
        </is>
      </c>
      <c r="B7" s="20" t="n">
        <v>1500</v>
      </c>
      <c r="C7" s="20" t="n">
        <v>0</v>
      </c>
      <c r="D7" s="20" t="n">
        <v>280</v>
      </c>
      <c r="E7" s="20" t="n">
        <v>500</v>
      </c>
      <c r="F7" s="20" t="inlineStr">
        <is>
          <t>June 3</t>
        </is>
      </c>
      <c r="G7" s="20" t="n"/>
      <c r="H7" s="20">
        <f>H6+G7</f>
        <v/>
      </c>
    </row>
    <row r="8">
      <c r="A8" s="19" t="inlineStr">
        <is>
          <t>Week 4</t>
        </is>
      </c>
      <c r="B8" s="20" t="n">
        <v>1500</v>
      </c>
      <c r="C8" s="20" t="n">
        <v>0</v>
      </c>
      <c r="D8" s="20" t="n">
        <v>180</v>
      </c>
      <c r="E8" s="20" t="n">
        <v>500</v>
      </c>
      <c r="F8" s="20" t="inlineStr">
        <is>
          <t>June 4</t>
        </is>
      </c>
      <c r="G8" s="20" t="n"/>
      <c r="H8" s="20">
        <f>H7+G8</f>
        <v/>
      </c>
    </row>
    <row r="9">
      <c r="F9" s="19" t="inlineStr">
        <is>
          <t>June 5</t>
        </is>
      </c>
      <c r="G9" s="20" t="n"/>
      <c r="H9" s="20">
        <f>H8+G9</f>
        <v/>
      </c>
    </row>
    <row r="10">
      <c r="A10" s="13" t="inlineStr">
        <is>
          <t>Monthly Total</t>
        </is>
      </c>
      <c r="B10" s="30">
        <f>SUM(B5:B8)</f>
        <v/>
      </c>
      <c r="C10" s="30">
        <f>SUM(C5:C8)</f>
        <v/>
      </c>
      <c r="D10" s="30">
        <f>SUM(D5:D8)</f>
        <v/>
      </c>
      <c r="E10" s="30">
        <f>SUM(E5:E8)</f>
        <v/>
      </c>
      <c r="F10" s="31" t="inlineStr">
        <is>
          <t>June 6</t>
        </is>
      </c>
      <c r="G10" s="20" t="n"/>
      <c r="H10" s="20">
        <f>H9+G10</f>
        <v/>
      </c>
    </row>
    <row r="11">
      <c r="F11" s="19" t="inlineStr">
        <is>
          <t>June 7</t>
        </is>
      </c>
      <c r="G11" s="20" t="n"/>
      <c r="H11" s="20">
        <f>H10+G11</f>
        <v/>
      </c>
    </row>
    <row r="12">
      <c r="A12" s="17" t="inlineStr">
        <is>
          <t>IMPORTANT DATES</t>
        </is>
      </c>
      <c r="F12" s="19" t="inlineStr">
        <is>
          <t>June 8</t>
        </is>
      </c>
      <c r="G12" s="20" t="n"/>
      <c r="H12" s="20">
        <f>H11+G12</f>
        <v/>
      </c>
    </row>
    <row r="13">
      <c r="A13" s="24" t="inlineStr">
        <is>
          <t>Date</t>
        </is>
      </c>
      <c r="B13" s="24" t="inlineStr">
        <is>
          <t>Bill/Expense</t>
        </is>
      </c>
      <c r="C13" s="24" t="inlineStr">
        <is>
          <t>Amount</t>
        </is>
      </c>
      <c r="D13" s="24" t="inlineStr">
        <is>
          <t>Status</t>
        </is>
      </c>
      <c r="F13" s="19" t="inlineStr">
        <is>
          <t>June 9</t>
        </is>
      </c>
      <c r="G13" s="20" t="n"/>
      <c r="H13" s="20">
        <f>H12+G13</f>
        <v/>
      </c>
    </row>
    <row r="14">
      <c r="A14" s="19" t="inlineStr">
        <is>
          <t>June 1</t>
        </is>
      </c>
      <c r="B14" s="19" t="inlineStr">
        <is>
          <t>Rent</t>
        </is>
      </c>
      <c r="C14" s="20" t="n">
        <v>1500</v>
      </c>
      <c r="D14" s="32" t="inlineStr">
        <is>
          <t>Paid</t>
        </is>
      </c>
      <c r="F14" s="19" t="inlineStr">
        <is>
          <t>June 10</t>
        </is>
      </c>
      <c r="G14" s="20" t="n"/>
      <c r="H14" s="20">
        <f>H13+G14</f>
        <v/>
      </c>
    </row>
    <row r="15">
      <c r="A15" s="19" t="inlineStr">
        <is>
          <t>June 3</t>
        </is>
      </c>
      <c r="B15" s="19" t="inlineStr">
        <is>
          <t>Electric Bill</t>
        </is>
      </c>
      <c r="C15" s="20" t="n">
        <v>85</v>
      </c>
      <c r="D15" s="32" t="inlineStr">
        <is>
          <t>Paid</t>
        </is>
      </c>
      <c r="F15" s="19" t="inlineStr">
        <is>
          <t>June 11</t>
        </is>
      </c>
      <c r="G15" s="20" t="n"/>
      <c r="H15" s="20">
        <f>H14+G15</f>
        <v/>
      </c>
    </row>
    <row r="16">
      <c r="A16" s="19" t="inlineStr">
        <is>
          <t>June 10</t>
        </is>
      </c>
      <c r="B16" s="19" t="inlineStr">
        <is>
          <t>Internet</t>
        </is>
      </c>
      <c r="C16" s="20" t="n">
        <v>65</v>
      </c>
      <c r="D16" s="32" t="inlineStr">
        <is>
          <t>Paid</t>
        </is>
      </c>
      <c r="F16" s="19" t="inlineStr">
        <is>
          <t>June 12</t>
        </is>
      </c>
      <c r="G16" s="20" t="n"/>
      <c r="H16" s="20">
        <f>H15+G16</f>
        <v/>
      </c>
    </row>
    <row r="17">
      <c r="A17" s="19" t="inlineStr">
        <is>
          <t>June 15</t>
        </is>
      </c>
      <c r="B17" s="19" t="inlineStr">
        <is>
          <t>Car Payment</t>
        </is>
      </c>
      <c r="C17" s="20" t="n">
        <v>477</v>
      </c>
      <c r="D17" s="33" t="inlineStr">
        <is>
          <t>Due</t>
        </is>
      </c>
      <c r="F17" s="19" t="inlineStr">
        <is>
          <t>June 13</t>
        </is>
      </c>
      <c r="G17" s="20" t="n"/>
      <c r="H17" s="20">
        <f>H16+G17</f>
        <v/>
      </c>
    </row>
    <row r="18">
      <c r="A18" s="19" t="inlineStr">
        <is>
          <t>June 20</t>
        </is>
      </c>
      <c r="B18" s="19" t="inlineStr">
        <is>
          <t>Student Loan</t>
        </is>
      </c>
      <c r="C18" s="20" t="n">
        <v>357</v>
      </c>
      <c r="D18" s="33" t="inlineStr">
        <is>
          <t>Due</t>
        </is>
      </c>
      <c r="F18" s="19" t="inlineStr">
        <is>
          <t>June 14</t>
        </is>
      </c>
      <c r="G18" s="20" t="n"/>
      <c r="H18" s="20">
        <f>H17+G18</f>
        <v/>
      </c>
    </row>
    <row r="19">
      <c r="A19" s="19" t="inlineStr">
        <is>
          <t>June 25</t>
        </is>
      </c>
      <c r="B19" s="19" t="inlineStr">
        <is>
          <t>Credit Card Due</t>
        </is>
      </c>
      <c r="C19" s="20" t="n">
        <v>500</v>
      </c>
      <c r="D19" s="33" t="inlineStr">
        <is>
          <t>Due</t>
        </is>
      </c>
      <c r="F19" s="19" t="inlineStr">
        <is>
          <t>June 15</t>
        </is>
      </c>
      <c r="G19" s="20" t="n"/>
      <c r="H19" s="20">
        <f>H18+G19</f>
        <v/>
      </c>
    </row>
    <row r="20">
      <c r="F20" s="19" t="inlineStr">
        <is>
          <t>June 16</t>
        </is>
      </c>
      <c r="G20" s="20" t="n"/>
      <c r="H20" s="20">
        <f>H19+G20</f>
        <v/>
      </c>
    </row>
    <row r="21">
      <c r="F21" s="19" t="inlineStr">
        <is>
          <t>June 17</t>
        </is>
      </c>
      <c r="G21" s="20" t="n"/>
      <c r="H21" s="20">
        <f>H20+G21</f>
        <v/>
      </c>
    </row>
    <row r="22">
      <c r="F22" s="19" t="inlineStr">
        <is>
          <t>June 18</t>
        </is>
      </c>
      <c r="G22" s="20" t="n"/>
      <c r="H22" s="20">
        <f>H21+G22</f>
        <v/>
      </c>
    </row>
    <row r="23">
      <c r="F23" s="19" t="inlineStr">
        <is>
          <t>June 19</t>
        </is>
      </c>
      <c r="G23" s="20" t="n"/>
      <c r="H23" s="20">
        <f>H22+G23</f>
        <v/>
      </c>
    </row>
    <row r="24">
      <c r="F24" s="19" t="inlineStr">
        <is>
          <t>June 20</t>
        </is>
      </c>
      <c r="G24" s="20" t="n"/>
      <c r="H24" s="20">
        <f>H23+G24</f>
        <v/>
      </c>
    </row>
    <row r="25">
      <c r="F25" s="19" t="inlineStr">
        <is>
          <t>June 21</t>
        </is>
      </c>
      <c r="G25" s="20" t="n"/>
      <c r="H25" s="20">
        <f>H24+G25</f>
        <v/>
      </c>
    </row>
    <row r="26">
      <c r="F26" s="19" t="inlineStr">
        <is>
          <t>June 22</t>
        </is>
      </c>
      <c r="G26" s="20" t="n"/>
      <c r="H26" s="20">
        <f>H25+G26</f>
        <v/>
      </c>
    </row>
    <row r="27">
      <c r="F27" s="19" t="inlineStr">
        <is>
          <t>June 23</t>
        </is>
      </c>
      <c r="G27" s="20" t="n"/>
      <c r="H27" s="20">
        <f>H26+G27</f>
        <v/>
      </c>
    </row>
    <row r="28">
      <c r="F28" s="19" t="inlineStr">
        <is>
          <t>June 24</t>
        </is>
      </c>
      <c r="G28" s="20" t="n"/>
      <c r="H28" s="20">
        <f>H27+G28</f>
        <v/>
      </c>
    </row>
    <row r="29">
      <c r="F29" s="19" t="inlineStr">
        <is>
          <t>June 25</t>
        </is>
      </c>
      <c r="G29" s="20" t="n"/>
      <c r="H29" s="20">
        <f>H28+G29</f>
        <v/>
      </c>
    </row>
    <row r="30">
      <c r="F30" s="19" t="inlineStr">
        <is>
          <t>June 26</t>
        </is>
      </c>
      <c r="G30" s="20" t="n"/>
      <c r="H30" s="20">
        <f>H29+G30</f>
        <v/>
      </c>
    </row>
    <row r="31">
      <c r="F31" s="19" t="inlineStr">
        <is>
          <t>June 27</t>
        </is>
      </c>
      <c r="G31" s="20" t="n"/>
      <c r="H31" s="20">
        <f>H30+G31</f>
        <v/>
      </c>
    </row>
    <row r="32">
      <c r="F32" s="19" t="inlineStr">
        <is>
          <t>June 28</t>
        </is>
      </c>
      <c r="G32" s="20" t="n"/>
      <c r="H32" s="20">
        <f>H31+G32</f>
        <v/>
      </c>
    </row>
    <row r="33">
      <c r="F33" s="19" t="inlineStr">
        <is>
          <t>June 29</t>
        </is>
      </c>
      <c r="G33" s="20" t="n"/>
      <c r="H33" s="20">
        <f>H32+G33</f>
        <v/>
      </c>
    </row>
    <row r="34">
      <c r="F34" s="19" t="inlineStr">
        <is>
          <t>June 30</t>
        </is>
      </c>
      <c r="G34" s="20" t="n"/>
      <c r="H34" s="20">
        <f>H33+G34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2026-06-06T14:31:56Z</dcterms:created>
  <dcterms:modified xsi:type="dcterms:W3CDTF">2026-06-06T14:31:56Z</dcterms:modified>
</cp:coreProperties>
</file>